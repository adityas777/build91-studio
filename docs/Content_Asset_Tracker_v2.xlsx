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Tracker" sheetId="1" state="visible" r:id="rId1"/>
    <sheet name="Summary" sheetId="2" state="visible" r:id="rId2"/>
  </sheets>
  <definedNames>
    <definedName name="_xlnm._FilterDatabase" localSheetId="0" hidden="1">'Asset Tracker'!$A$1:$J$50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sz val="9"/>
    </font>
    <font>
      <name val="Arial"/>
      <b val="1"/>
      <color rgb="001F4E78"/>
      <sz val="13"/>
    </font>
    <font>
      <name val="Arial"/>
      <b val="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9CD3F0"/>
      </patternFill>
    </fill>
    <fill>
      <patternFill patternType="solid">
        <fgColor rgb="00FF6B6B"/>
      </patternFill>
    </fill>
    <fill>
      <patternFill patternType="solid">
        <fgColor rgb="00F8CBAD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EDE7F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8" borderId="0" pivotButton="0" quotePrefix="0" xfId="0"/>
    <xf numFmtId="0" fontId="3" fillId="4" borderId="0" pivotButton="0" quotePrefix="0" xfId="0"/>
    <xf numFmtId="0" fontId="3" fillId="6" borderId="0" pivotButton="0" quotePrefix="0" xfId="0"/>
    <xf numFmtId="0" fontId="3" fillId="11" borderId="0" pivotButton="0" quotePrefix="0" xfId="0"/>
    <xf numFmtId="0" fontId="3" fillId="9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4" customWidth="1" min="4" max="4"/>
    <col width="34" customWidth="1" min="5" max="5"/>
    <col width="24" customWidth="1" min="6" max="6"/>
    <col width="28" customWidth="1" min="7" max="7"/>
    <col width="13" customWidth="1" min="8" max="8"/>
    <col width="9" customWidth="1" min="9" max="9"/>
    <col width="38" customWidth="1" min="10" max="10"/>
  </cols>
  <sheetData>
    <row r="1">
      <c r="A1" s="1" t="inlineStr">
        <is>
          <t>Page</t>
        </is>
      </c>
      <c r="B1" s="1" t="inlineStr">
        <is>
          <t>Section / Component</t>
        </is>
      </c>
      <c r="C1" s="1" t="inlineStr">
        <is>
          <t>Asset / Deliverable</t>
        </is>
      </c>
      <c r="D1" s="1" t="inlineStr">
        <is>
          <t>Desktop / Landscape</t>
        </is>
      </c>
      <c r="E1" s="1" t="inlineStr">
        <is>
          <t>Mobile / Portrait</t>
        </is>
      </c>
      <c r="F1" s="1" t="inlineStr">
        <is>
          <t>Poster / Still</t>
        </is>
      </c>
      <c r="G1" s="1" t="inlineStr">
        <is>
          <t>On Disk Now</t>
        </is>
      </c>
      <c r="H1" s="1" t="inlineStr">
        <is>
          <t>Status</t>
        </is>
      </c>
      <c r="I1" s="1" t="inlineStr">
        <is>
          <t>Pri</t>
        </is>
      </c>
      <c r="J1" s="1" t="inlineStr">
        <is>
          <t>Notes</t>
        </is>
      </c>
    </row>
    <row r="2">
      <c r="A2" s="2" t="inlineStr">
        <is>
          <t>HOME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Home</t>
        </is>
      </c>
      <c r="B3" s="4" t="inlineStr">
        <is>
          <t>VideoHero</t>
        </is>
      </c>
      <c r="C3" s="4" t="inlineStr">
        <is>
          <t>Hero showreel film</t>
        </is>
      </c>
      <c r="D3" s="4" t="inlineStr">
        <is>
          <t>1920x1080 16:9, 3-5MB, 15-25s loop -&gt; /video/hero-reel.mp4</t>
        </is>
      </c>
      <c r="E3" s="4" t="inlineStr">
        <is>
          <t>1080x1920 9:16, 1.5-2.5MB -&gt; /video/hero-reel-mobile.mp4</t>
        </is>
      </c>
      <c r="F3" s="4" t="inlineStr">
        <is>
          <t>hero-poster.jpg (1920x1080) + hero-poster-mobile.jpg (1080x1920)</t>
        </is>
      </c>
      <c r="G3" s="4" t="inlineStr">
        <is>
          <t>Desktop=placeholder (intro-reel-web); Mobile=herobanner_fast.mp4 (39.7MB!); posters=intro-poster.jpg</t>
        </is>
      </c>
      <c r="H3" s="5" t="inlineStr">
        <is>
          <t>In Progress</t>
        </is>
      </c>
      <c r="I3" s="6" t="inlineStr">
        <is>
          <t>P0</t>
        </is>
      </c>
      <c r="J3" s="4" t="inlineStr">
        <is>
          <t>Needs a true PORTRAIT re-cut (not a crop). Mobile file is oversized - re-encode to &lt;=2.5MB. herobanner.mp4 (78MB) is unused.</t>
        </is>
      </c>
    </row>
    <row r="4">
      <c r="A4" s="4" t="inlineStr">
        <is>
          <t>Home</t>
        </is>
      </c>
      <c r="B4" s="4" t="inlineStr">
        <is>
          <t>AssetReel</t>
        </is>
      </c>
      <c r="C4" s="4" t="inlineStr">
        <is>
          <t>Aerial 360 - loop + poster</t>
        </is>
      </c>
      <c r="D4" s="4" t="inlineStr">
        <is>
          <t>n/a (portrait asset)</t>
        </is>
      </c>
      <c r="E4" s="4" t="inlineStr">
        <is>
          <t>720x900 4:5, ~500KB, 4s loop -&gt; /video/asset-reel/aerial-360.mp4</t>
        </is>
      </c>
      <c r="F4" s="4" t="inlineStr">
        <is>
          <t>/images/asset-reel/aerial-360.jpg (720x900, ~100KB)</t>
        </is>
      </c>
      <c r="G4" s="4" t="inlineStr">
        <is>
          <t>None (placeholder loop + picsum poster)</t>
        </is>
      </c>
      <c r="H4" s="7" t="inlineStr">
        <is>
          <t>Not Started</t>
        </is>
      </c>
      <c r="I4" s="8" t="inlineStr">
        <is>
          <t>P1</t>
        </is>
      </c>
      <c r="J4" s="4" t="inlineStr">
        <is>
          <t>Muted 4s loop. Could be re-cut from the new Drone footage.</t>
        </is>
      </c>
    </row>
    <row r="5">
      <c r="A5" s="4" t="inlineStr">
        <is>
          <t>Home</t>
        </is>
      </c>
      <c r="B5" s="4" t="inlineStr">
        <is>
          <t>AssetReel</t>
        </is>
      </c>
      <c r="C5" s="4" t="inlineStr">
        <is>
          <t>3D Walkthrough - loop + poster</t>
        </is>
      </c>
      <c r="D5" s="4" t="inlineStr">
        <is>
          <t>n/a</t>
        </is>
      </c>
      <c r="E5" s="4" t="inlineStr">
        <is>
          <t>720x900 4:5 -&gt; /video/asset-reel/3d-walkthrough.mp4</t>
        </is>
      </c>
      <c r="F5" s="4" t="inlineStr">
        <is>
          <t>/images/asset-reel/3d-walkthrough.jpg</t>
        </is>
      </c>
      <c r="G5" s="4" t="inlineStr">
        <is>
          <t>None (placeholder)</t>
        </is>
      </c>
      <c r="H5" s="7" t="inlineStr">
        <is>
          <t>Not Started</t>
        </is>
      </c>
      <c r="I5" s="8" t="inlineStr">
        <is>
          <t>P1</t>
        </is>
      </c>
      <c r="J5" s="4" t="inlineStr">
        <is>
          <t>Muted 4s loop. Could be re-cut from the new Walkthrough footage.</t>
        </is>
      </c>
    </row>
    <row r="6">
      <c r="A6" s="4" t="inlineStr">
        <is>
          <t>Home</t>
        </is>
      </c>
      <c r="B6" s="4" t="inlineStr">
        <is>
          <t>AssetReel</t>
        </is>
      </c>
      <c r="C6" s="4" t="inlineStr">
        <is>
          <t>3D Interior - still + poster</t>
        </is>
      </c>
      <c r="D6" s="4" t="inlineStr">
        <is>
          <t>n/a</t>
        </is>
      </c>
      <c r="E6" s="4" t="inlineStr">
        <is>
          <t>720x900 4:5 -&gt; /video/asset-reel/3d-interior.mp4</t>
        </is>
      </c>
      <c r="F6" s="4" t="inlineStr">
        <is>
          <t>/images/asset-reel/3d-interior.jpg</t>
        </is>
      </c>
      <c r="G6" s="4" t="inlineStr">
        <is>
          <t>None (placeholder)</t>
        </is>
      </c>
      <c r="H6" s="7" t="inlineStr">
        <is>
          <t>Not Started</t>
        </is>
      </c>
      <c r="I6" s="8" t="inlineStr">
        <is>
          <t>P1</t>
        </is>
      </c>
      <c r="J6" s="4" t="inlineStr">
        <is>
          <t>Tagged 'Still frame' - a static render is fine. Could re-cut from new Renders footage.</t>
        </is>
      </c>
    </row>
    <row r="7">
      <c r="A7" s="4" t="inlineStr">
        <is>
          <t>Home</t>
        </is>
      </c>
      <c r="B7" s="4" t="inlineStr">
        <is>
          <t>AssetReel</t>
        </is>
      </c>
      <c r="C7" s="4" t="inlineStr">
        <is>
          <t>3D Exterior - still + poster</t>
        </is>
      </c>
      <c r="D7" s="4" t="inlineStr">
        <is>
          <t>n/a</t>
        </is>
      </c>
      <c r="E7" s="4" t="inlineStr">
        <is>
          <t>720x900 4:5 -&gt; /video/asset-reel/3d-exterior.mp4</t>
        </is>
      </c>
      <c r="F7" s="4" t="inlineStr">
        <is>
          <t>/images/asset-reel/3d-exterior.jpg</t>
        </is>
      </c>
      <c r="G7" s="4" t="inlineStr">
        <is>
          <t>None (placeholder)</t>
        </is>
      </c>
      <c r="H7" s="7" t="inlineStr">
        <is>
          <t>Not Started</t>
        </is>
      </c>
      <c r="I7" s="8" t="inlineStr">
        <is>
          <t>P1</t>
        </is>
      </c>
      <c r="J7" s="4" t="inlineStr">
        <is>
          <t>Tagged 'Still frame' - a static render is fine. Could re-cut from new Renders footage.</t>
        </is>
      </c>
    </row>
    <row r="8">
      <c r="A8" s="4" t="inlineStr">
        <is>
          <t>Home</t>
        </is>
      </c>
      <c r="B8" s="4" t="inlineStr">
        <is>
          <t>AssetReel</t>
        </is>
      </c>
      <c r="C8" s="4" t="inlineStr">
        <is>
          <t>Cinematic Film - loop + poster</t>
        </is>
      </c>
      <c r="D8" s="4" t="inlineStr">
        <is>
          <t>n/a</t>
        </is>
      </c>
      <c r="E8" s="4" t="inlineStr">
        <is>
          <t>720x900 4:5 -&gt; /video/asset-reel/cinematic-film.mp4</t>
        </is>
      </c>
      <c r="F8" s="4" t="inlineStr">
        <is>
          <t>/images/asset-reel/cinematic-film.jpg</t>
        </is>
      </c>
      <c r="G8" s="4" t="inlineStr">
        <is>
          <t>None (placeholder)</t>
        </is>
      </c>
      <c r="H8" s="7" t="inlineStr">
        <is>
          <t>Not Started</t>
        </is>
      </c>
      <c r="I8" s="8" t="inlineStr">
        <is>
          <t>P1</t>
        </is>
      </c>
      <c r="J8" s="4" t="inlineStr">
        <is>
          <t>Muted 4s loop.</t>
        </is>
      </c>
    </row>
    <row r="9">
      <c r="A9" s="4" t="inlineStr">
        <is>
          <t>Home</t>
        </is>
      </c>
      <c r="B9" s="4" t="inlineStr">
        <is>
          <t>AssetReel</t>
        </is>
      </c>
      <c r="C9" s="4" t="inlineStr">
        <is>
          <t>Plot Superimposition - loop + poster</t>
        </is>
      </c>
      <c r="D9" s="4" t="inlineStr">
        <is>
          <t>n/a</t>
        </is>
      </c>
      <c r="E9" s="4" t="inlineStr">
        <is>
          <t>720x900 4:5 -&gt; /video/asset-reel/plot-superimposition.mp4</t>
        </is>
      </c>
      <c r="F9" s="4" t="inlineStr">
        <is>
          <t>/images/asset-reel/plot-superimposition.jpg</t>
        </is>
      </c>
      <c r="G9" s="4" t="inlineStr">
        <is>
          <t>None (placeholder)</t>
        </is>
      </c>
      <c r="H9" s="7" t="inlineStr">
        <is>
          <t>Not Started</t>
        </is>
      </c>
      <c r="I9" s="8" t="inlineStr">
        <is>
          <t>P1</t>
        </is>
      </c>
      <c r="J9" s="4" t="inlineStr">
        <is>
          <t>Muted 4s loop.</t>
        </is>
      </c>
    </row>
    <row r="10">
      <c r="A10" s="4" t="inlineStr">
        <is>
          <t>Home</t>
        </is>
      </c>
      <c r="B10" s="4" t="inlineStr">
        <is>
          <t>AssetReel</t>
        </is>
      </c>
      <c r="C10" s="4" t="inlineStr">
        <is>
          <t>Vertical Reel - cut + poster</t>
        </is>
      </c>
      <c r="D10" s="4" t="inlineStr">
        <is>
          <t>n/a</t>
        </is>
      </c>
      <c r="E10" s="4" t="inlineStr">
        <is>
          <t>9:16 (720x1280) -&gt; /video/asset-reel/vertical-reel.mp4</t>
        </is>
      </c>
      <c r="F10" s="4" t="inlineStr">
        <is>
          <t>/images/asset-reel/vertical-reel.jpg</t>
        </is>
      </c>
      <c r="G10" s="4" t="inlineStr">
        <is>
          <t>None (placeholder)</t>
        </is>
      </c>
      <c r="H10" s="7" t="inlineStr">
        <is>
          <t>Not Started</t>
        </is>
      </c>
      <c r="I10" s="8" t="inlineStr">
        <is>
          <t>P1</t>
        </is>
      </c>
      <c r="J10" s="4" t="inlineStr">
        <is>
          <t>Only 9:16 card in the row. ~15s cut.</t>
        </is>
      </c>
    </row>
    <row r="11">
      <c r="A11" s="4" t="inlineStr">
        <is>
          <t>Home</t>
        </is>
      </c>
      <c r="B11" s="4" t="inlineStr">
        <is>
          <t>AssetReel</t>
        </is>
      </c>
      <c r="C11" s="4" t="inlineStr">
        <is>
          <t>Microsite Loop - loop + poster</t>
        </is>
      </c>
      <c r="D11" s="4" t="inlineStr">
        <is>
          <t>n/a</t>
        </is>
      </c>
      <c r="E11" s="4" t="inlineStr">
        <is>
          <t>720x900 4:5 -&gt; /video/asset-reel/microsite-loop.mp4</t>
        </is>
      </c>
      <c r="F11" s="4" t="inlineStr">
        <is>
          <t>/images/asset-reel/microsite-loop.jpg</t>
        </is>
      </c>
      <c r="G11" s="4" t="inlineStr">
        <is>
          <t>None (placeholder)</t>
        </is>
      </c>
      <c r="H11" s="7" t="inlineStr">
        <is>
          <t>Not Started</t>
        </is>
      </c>
      <c r="I11" s="8" t="inlineStr">
        <is>
          <t>P1</t>
        </is>
      </c>
      <c r="J11" s="4" t="inlineStr">
        <is>
          <t>Screen-capture loop of a live microsite.</t>
        </is>
      </c>
    </row>
    <row r="12">
      <c r="A12" s="4" t="inlineStr">
        <is>
          <t>Home</t>
        </is>
      </c>
      <c r="B12" s="4" t="inlineStr">
        <is>
          <t>StatsBar</t>
        </is>
      </c>
      <c r="C12" s="4" t="inlineStr">
        <is>
          <t>Google rating + 300+/120+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n/a</t>
        </is>
      </c>
      <c r="G12" s="4" t="inlineStr">
        <is>
          <t>Live Places API + hardcoded numbers</t>
        </is>
      </c>
      <c r="H12" s="9" t="inlineStr">
        <is>
          <t>Done</t>
        </is>
      </c>
      <c r="I12" s="6" t="inlineStr">
        <is>
          <t>P0</t>
        </is>
      </c>
      <c r="J12" s="4" t="inlineStr">
        <is>
          <t>No media asset. Rating is live; confirm 300+/120+ before launch.</t>
        </is>
      </c>
    </row>
    <row r="13">
      <c r="A13" s="4" t="inlineStr">
        <is>
          <t>Home</t>
        </is>
      </c>
      <c r="B13" s="4" t="inlineStr">
        <is>
          <t>TrustStrip</t>
        </is>
      </c>
      <c r="C13" s="4" t="inlineStr">
        <is>
          <t>RERA / DGCA / In-House / NDA pills</t>
        </is>
      </c>
      <c r="D13" s="4" t="inlineStr">
        <is>
          <t>n/a</t>
        </is>
      </c>
      <c r="E13" s="4" t="inlineStr">
        <is>
          <t>n/a</t>
        </is>
      </c>
      <c r="F13" s="4" t="inlineStr">
        <is>
          <t>n/a</t>
        </is>
      </c>
      <c r="G13" s="4" t="inlineStr">
        <is>
          <t>Lucide code icons (ShieldCheck, PlaneTakeoff, Building2, Lock)</t>
        </is>
      </c>
      <c r="H13" s="9" t="inlineStr">
        <is>
          <t>Done</t>
        </is>
      </c>
      <c r="I13" s="4" t="inlineStr">
        <is>
          <t>-</t>
        </is>
      </c>
      <c r="J13" s="4" t="inlineStr">
        <is>
          <t>NO image asset needed - icons are drawn in code.</t>
        </is>
      </c>
    </row>
    <row r="14">
      <c r="A14" s="4" t="inlineStr">
        <is>
          <t>Home</t>
        </is>
      </c>
      <c r="B14" s="4" t="inlineStr">
        <is>
          <t>ClientLogoWall</t>
        </is>
      </c>
      <c r="C14" s="4" t="inlineStr">
        <is>
          <t>11 client / partner logos</t>
        </is>
      </c>
      <c r="D14" s="4" t="inlineStr">
        <is>
          <t>PNG, transparent, up to 300px wide</t>
        </is>
      </c>
      <c r="E14" s="4" t="inlineStr">
        <is>
          <t>same (responsive)</t>
        </is>
      </c>
      <c r="F14" s="4" t="inlineStr">
        <is>
          <t>n/a</t>
        </is>
      </c>
      <c r="G14" s="4" t="inlineStr">
        <is>
          <t>11 PNGs on disk (Laxmi + Western Arch named; partner-01..09 placeholder)</t>
        </is>
      </c>
      <c r="H14" s="5" t="inlineStr">
        <is>
          <t>In Progress</t>
        </is>
      </c>
      <c r="I14" s="8" t="inlineStr">
        <is>
          <t>P1</t>
        </is>
      </c>
      <c r="J14" s="4" t="inlineStr">
        <is>
          <t>Rename 9 placeholders with real brands. SVG monochrome preferred per roadmap.</t>
        </is>
      </c>
    </row>
    <row r="15">
      <c r="A15" s="4" t="inlineStr">
        <is>
          <t>Home</t>
        </is>
      </c>
      <c r="B15" s="4" t="inlineStr">
        <is>
          <t>Services ScrollPin</t>
        </is>
      </c>
      <c r="C15" s="4" t="inlineStr">
        <is>
          <t>Slide 1 - Drone &amp; Aerial 360</t>
        </is>
      </c>
      <c r="D15" s="4" t="inlineStr">
        <is>
          <t>LIVE: /video/Drone and aerial 360 no text-desk.mp4 (10.7MB)</t>
        </is>
      </c>
      <c r="E15" s="4" t="inlineStr">
        <is>
          <t>LIVE: /video/Drone and Aerial 360 portrait 01-mob.mp4 (10.5MB)</t>
        </is>
      </c>
      <c r="F15" s="4" t="inlineStr">
        <is>
          <t>color tint only (no poster image)</t>
        </is>
      </c>
      <c r="G15" s="4" t="inlineStr">
        <is>
          <t>Both REAL - wired into app/page.tsx</t>
        </is>
      </c>
      <c r="H15" s="9" t="inlineStr">
        <is>
          <t>Done</t>
        </is>
      </c>
      <c r="I15" s="8" t="inlineStr">
        <is>
          <t>P1</t>
        </is>
      </c>
      <c r="J15" s="4" t="inlineStr">
        <is>
          <t>Real footage landed. HEAVY (~21MB pair) - compress. Filename has spaces; rename to svc-drone*.mp4.</t>
        </is>
      </c>
    </row>
    <row r="16">
      <c r="A16" s="4" t="inlineStr">
        <is>
          <t>Home</t>
        </is>
      </c>
      <c r="B16" s="4" t="inlineStr">
        <is>
          <t>Services ScrollPin</t>
        </is>
      </c>
      <c r="C16" s="4" t="inlineStr">
        <is>
          <t>Slide 2 - Photoreal Renders</t>
        </is>
      </c>
      <c r="D16" s="4" t="inlineStr">
        <is>
          <t>LIVE: /video/Renders with no text-desk.mp4 (3.4MB)</t>
        </is>
      </c>
      <c r="E16" s="4" t="inlineStr">
        <is>
          <t>LIVE: /video/Renders potrait 02-mob.mp4 (2.0MB)</t>
        </is>
      </c>
      <c r="F16" s="4" t="inlineStr">
        <is>
          <t>color tint only</t>
        </is>
      </c>
      <c r="G16" s="4" t="inlineStr">
        <is>
          <t>Both REAL - wired into app/page.tsx</t>
        </is>
      </c>
      <c r="H16" s="9" t="inlineStr">
        <is>
          <t>Done</t>
        </is>
      </c>
      <c r="I16" s="8" t="inlineStr">
        <is>
          <t>P1</t>
        </is>
      </c>
      <c r="J16" s="4" t="inlineStr">
        <is>
          <t>Real footage landed. Good weight. Rename to svc-renders*.mp4 (typo 'potrait' + spaces).</t>
        </is>
      </c>
    </row>
    <row r="17">
      <c r="A17" s="4" t="inlineStr">
        <is>
          <t>Home</t>
        </is>
      </c>
      <c r="B17" s="4" t="inlineStr">
        <is>
          <t>Services ScrollPin</t>
        </is>
      </c>
      <c r="C17" s="4" t="inlineStr">
        <is>
          <t>Slide 3 - Cinematic Walkthroughs</t>
        </is>
      </c>
      <c r="D17" s="4" t="inlineStr">
        <is>
          <t>LIVE: /video/Walkthrough with no text-desk.mp4 (11.3MB)</t>
        </is>
      </c>
      <c r="E17" s="4" t="inlineStr">
        <is>
          <t>LIVE: /video/Walthrough partrait with no text-mob.mp4 (11.2MB)</t>
        </is>
      </c>
      <c r="F17" s="4" t="inlineStr">
        <is>
          <t>color tint only</t>
        </is>
      </c>
      <c r="G17" s="4" t="inlineStr">
        <is>
          <t>Both REAL - wired into app/page.tsx</t>
        </is>
      </c>
      <c r="H17" s="9" t="inlineStr">
        <is>
          <t>Done</t>
        </is>
      </c>
      <c r="I17" s="8" t="inlineStr">
        <is>
          <t>P1</t>
        </is>
      </c>
      <c r="J17" s="4" t="inlineStr">
        <is>
          <t>Real footage landed. HEAVY (~22MB pair) - compress. Typo 'Walthrough'; rename to svc-walkthrough*.mp4.</t>
        </is>
      </c>
    </row>
    <row r="18">
      <c r="A18" s="4" t="inlineStr">
        <is>
          <t>Home</t>
        </is>
      </c>
      <c r="B18" s="4" t="inlineStr">
        <is>
          <t>Services ScrollPin</t>
        </is>
      </c>
      <c r="C18" s="4" t="inlineStr">
        <is>
          <t>Slide 4 - 360 Virtual Tours</t>
        </is>
      </c>
      <c r="D18" s="4" t="inlineStr">
        <is>
          <t>1920x1080 -&gt; /video/svc-tour.mp4</t>
        </is>
      </c>
      <c r="E18" s="4" t="inlineStr">
        <is>
          <t>1080x1920 -&gt; /video/svc-tour-mobile.mp4</t>
        </is>
      </c>
      <c r="F18" s="4" t="inlineStr">
        <is>
          <t>color tint only</t>
        </is>
      </c>
      <c r="G18" s="4" t="inlineStr">
        <is>
          <t>Both = placeholder (intro-reel-web.mp4)</t>
        </is>
      </c>
      <c r="H18" s="7" t="inlineStr">
        <is>
          <t>Not Started</t>
        </is>
      </c>
      <c r="I18" s="8" t="inlineStr">
        <is>
          <t>P1</t>
        </is>
      </c>
      <c r="J18" s="4" t="inlineStr">
        <is>
          <t>STILL NEEDED. Next in line now that slides 1-3 have real footage.</t>
        </is>
      </c>
    </row>
    <row r="19">
      <c r="A19" s="4" t="inlineStr">
        <is>
          <t>Home</t>
        </is>
      </c>
      <c r="B19" s="4" t="inlineStr">
        <is>
          <t>Services ScrollPin</t>
        </is>
      </c>
      <c r="C19" s="4" t="inlineStr">
        <is>
          <t>Slide 5 - Films, Reels &amp; Sites</t>
        </is>
      </c>
      <c r="D19" s="4" t="inlineStr">
        <is>
          <t>1920x1080 -&gt; /video/svc-marketing.mp4</t>
        </is>
      </c>
      <c r="E19" s="4" t="inlineStr">
        <is>
          <t>1080x1920 -&gt; /video/svc-marketing-mobile.mp4</t>
        </is>
      </c>
      <c r="F19" s="4" t="inlineStr">
        <is>
          <t>color tint only</t>
        </is>
      </c>
      <c r="G19" s="4" t="inlineStr">
        <is>
          <t>Both = placeholder (intro-reel-web.mp4)</t>
        </is>
      </c>
      <c r="H19" s="7" t="inlineStr">
        <is>
          <t>Not Started</t>
        </is>
      </c>
      <c r="I19" s="8" t="inlineStr">
        <is>
          <t>P1</t>
        </is>
      </c>
      <c r="J19" s="4" t="inlineStr">
        <is>
          <t>STILL NEEDED.</t>
        </is>
      </c>
    </row>
    <row r="20">
      <c r="A20" s="4" t="inlineStr">
        <is>
          <t>Home</t>
        </is>
      </c>
      <c r="B20" s="4" t="inlineStr">
        <is>
          <t>Services ScrollPin</t>
        </is>
      </c>
      <c r="C20" s="4" t="inlineStr">
        <is>
          <t>Slide 6 - Project Microsites</t>
        </is>
      </c>
      <c r="D20" s="4" t="inlineStr">
        <is>
          <t>1920x1080 -&gt; /video/svc-microsite.mp4</t>
        </is>
      </c>
      <c r="E20" s="4" t="inlineStr">
        <is>
          <t>1080x1920 -&gt; /video/svc-microsite-mobile.mp4</t>
        </is>
      </c>
      <c r="F20" s="4" t="inlineStr">
        <is>
          <t>color tint only</t>
        </is>
      </c>
      <c r="G20" s="4" t="inlineStr">
        <is>
          <t>Both = placeholder (intro-reel-web.mp4)</t>
        </is>
      </c>
      <c r="H20" s="7" t="inlineStr">
        <is>
          <t>Not Started</t>
        </is>
      </c>
      <c r="I20" s="8" t="inlineStr">
        <is>
          <t>P1</t>
        </is>
      </c>
      <c r="J20" s="4" t="inlineStr">
        <is>
          <t>STILL NEEDED.</t>
        </is>
      </c>
    </row>
    <row r="21">
      <c r="A21" s="4" t="inlineStr">
        <is>
          <t>Home</t>
        </is>
      </c>
      <c r="B21" s="4" t="inlineStr">
        <is>
          <t>SolutionsRouter</t>
        </is>
      </c>
      <c r="C21" s="4" t="inlineStr">
        <is>
          <t>Per-chip example thumbnails (6 types)</t>
        </is>
      </c>
      <c r="D21" s="4" t="inlineStr">
        <is>
          <t>~400x300 (optional)</t>
        </is>
      </c>
      <c r="E21" s="4" t="inlineStr">
        <is>
          <t>(optional)</t>
        </is>
      </c>
      <c r="F21" s="4" t="inlineStr">
        <is>
          <t>n/a</t>
        </is>
      </c>
      <c r="G21" s="4" t="inlineStr">
        <is>
          <t>None - lucide icons in use</t>
        </is>
      </c>
      <c r="H21" s="10" t="inlineStr">
        <is>
          <t>Optional</t>
        </is>
      </c>
      <c r="I21" s="11" t="inlineStr">
        <is>
          <t>P3</t>
        </is>
      </c>
      <c r="J21" s="4" t="inlineStr">
        <is>
          <t>DEFERRED nice-to-have. Currently icon-driven; thumbnails not required.</t>
        </is>
      </c>
    </row>
    <row r="22">
      <c r="A22" s="4" t="inlineStr">
        <is>
          <t>Home</t>
        </is>
      </c>
      <c r="B22" s="4" t="inlineStr">
        <is>
          <t>SelectedWork</t>
        </is>
      </c>
      <c r="C22" s="4" t="inlineStr">
        <is>
          <t>8 latest Instagram reels (LIVE)</t>
        </is>
      </c>
      <c r="D22" s="4" t="inlineStr">
        <is>
          <t>n/a</t>
        </is>
      </c>
      <c r="E22" s="4" t="inlineStr">
        <is>
          <t>9:16 (pulled live from IG Graph API)</t>
        </is>
      </c>
      <c r="F22" s="4" t="inlineStr">
        <is>
          <t>thumbnails from IG</t>
        </is>
      </c>
      <c r="G22" s="4" t="inlineStr">
        <is>
          <t>Live API (4h ISR)</t>
        </is>
      </c>
      <c r="H22" s="5" t="inlineStr">
        <is>
          <t>In Progress</t>
        </is>
      </c>
      <c r="I22" s="6" t="inlineStr">
        <is>
          <t>P0</t>
        </is>
      </c>
      <c r="J22" s="4" t="inlineStr">
        <is>
          <t>Pending: rotate IG token, provision Vercel KV, set CRON_SECRET.</t>
        </is>
      </c>
    </row>
    <row r="23">
      <c r="A23" s="4" t="inlineStr">
        <is>
          <t>Home</t>
        </is>
      </c>
      <c r="B23" s="4" t="inlineStr">
        <is>
          <t>SelectedWork - fallback</t>
        </is>
      </c>
      <c r="C23" s="4" t="inlineStr">
        <is>
          <t>Fallback reel 1 (video + poster)</t>
        </is>
      </c>
      <c r="D23" s="4" t="inlineStr">
        <is>
          <t>n/a</t>
        </is>
      </c>
      <c r="E23" s="4" t="inlineStr">
        <is>
          <t>9:16, 720w MP4, 10-20MB -&gt; /video/reels-fallback/reel-1.mp4</t>
        </is>
      </c>
      <c r="F23" s="4" t="inlineStr">
        <is>
          <t>/reels-fallback/reel-1.jpg</t>
        </is>
      </c>
      <c r="G23" s="4" t="inlineStr">
        <is>
          <t>None</t>
        </is>
      </c>
      <c r="H23" s="7" t="inlineStr">
        <is>
          <t>Not Started</t>
        </is>
      </c>
      <c r="I23" s="8" t="inlineStr">
        <is>
          <t>P1</t>
        </is>
      </c>
      <c r="J23" s="4" t="inlineStr">
        <is>
          <t>Also set real permalink + caption.</t>
        </is>
      </c>
    </row>
    <row r="24">
      <c r="A24" s="4" t="inlineStr">
        <is>
          <t>Home</t>
        </is>
      </c>
      <c r="B24" s="4" t="inlineStr">
        <is>
          <t>SelectedWork - fallback</t>
        </is>
      </c>
      <c r="C24" s="4" t="inlineStr">
        <is>
          <t>Fallback reel 2 (video + poster)</t>
        </is>
      </c>
      <c r="D24" s="4" t="inlineStr">
        <is>
          <t>n/a</t>
        </is>
      </c>
      <c r="E24" s="4" t="inlineStr">
        <is>
          <t>9:16 -&gt; /video/reels-fallback/reel-2.mp4</t>
        </is>
      </c>
      <c r="F24" s="4" t="inlineStr">
        <is>
          <t>/reels-fallback/reel-2.jpg</t>
        </is>
      </c>
      <c r="G24" s="4" t="inlineStr">
        <is>
          <t>None</t>
        </is>
      </c>
      <c r="H24" s="7" t="inlineStr">
        <is>
          <t>Not Started</t>
        </is>
      </c>
      <c r="I24" s="8" t="inlineStr">
        <is>
          <t>P1</t>
        </is>
      </c>
      <c r="J24" s="4" t="inlineStr">
        <is>
          <t>+ permalink + caption.</t>
        </is>
      </c>
    </row>
    <row r="25">
      <c r="A25" s="4" t="inlineStr">
        <is>
          <t>Home</t>
        </is>
      </c>
      <c r="B25" s="4" t="inlineStr">
        <is>
          <t>SelectedWork - fallback</t>
        </is>
      </c>
      <c r="C25" s="4" t="inlineStr">
        <is>
          <t>Fallback reel 3 (video + poster)</t>
        </is>
      </c>
      <c r="D25" s="4" t="inlineStr">
        <is>
          <t>n/a</t>
        </is>
      </c>
      <c r="E25" s="4" t="inlineStr">
        <is>
          <t>9:16 -&gt; /video/reels-fallback/reel-3.mp4</t>
        </is>
      </c>
      <c r="F25" s="4" t="inlineStr">
        <is>
          <t>/reels-fallback/reel-3.jpg</t>
        </is>
      </c>
      <c r="G25" s="4" t="inlineStr">
        <is>
          <t>None</t>
        </is>
      </c>
      <c r="H25" s="7" t="inlineStr">
        <is>
          <t>Not Started</t>
        </is>
      </c>
      <c r="I25" s="8" t="inlineStr">
        <is>
          <t>P1</t>
        </is>
      </c>
      <c r="J25" s="4" t="inlineStr">
        <is>
          <t>+ permalink + caption.</t>
        </is>
      </c>
    </row>
    <row r="26">
      <c r="A26" s="4" t="inlineStr">
        <is>
          <t>Home</t>
        </is>
      </c>
      <c r="B26" s="4" t="inlineStr">
        <is>
          <t>SelectedWork - fallback</t>
        </is>
      </c>
      <c r="C26" s="4" t="inlineStr">
        <is>
          <t>Fallback reel 4 (video + poster)</t>
        </is>
      </c>
      <c r="D26" s="4" t="inlineStr">
        <is>
          <t>n/a</t>
        </is>
      </c>
      <c r="E26" s="4" t="inlineStr">
        <is>
          <t>9:16 -&gt; /video/reels-fallback/reel-4.mp4</t>
        </is>
      </c>
      <c r="F26" s="4" t="inlineStr">
        <is>
          <t>/reels-fallback/reel-4.jpg</t>
        </is>
      </c>
      <c r="G26" s="4" t="inlineStr">
        <is>
          <t>None</t>
        </is>
      </c>
      <c r="H26" s="7" t="inlineStr">
        <is>
          <t>Not Started</t>
        </is>
      </c>
      <c r="I26" s="8" t="inlineStr">
        <is>
          <t>P1</t>
        </is>
      </c>
      <c r="J26" s="4" t="inlineStr">
        <is>
          <t>+ permalink + caption.</t>
        </is>
      </c>
    </row>
    <row r="27">
      <c r="A27" s="4" t="inlineStr">
        <is>
          <t>Home</t>
        </is>
      </c>
      <c r="B27" s="4" t="inlineStr">
        <is>
          <t>SelectedWork - fallback</t>
        </is>
      </c>
      <c r="C27" s="4" t="inlineStr">
        <is>
          <t>Fallback reel 5 (video + poster)</t>
        </is>
      </c>
      <c r="D27" s="4" t="inlineStr">
        <is>
          <t>n/a</t>
        </is>
      </c>
      <c r="E27" s="4" t="inlineStr">
        <is>
          <t>9:16 -&gt; /video/reels-fallback/reel-5.mp4</t>
        </is>
      </c>
      <c r="F27" s="4" t="inlineStr">
        <is>
          <t>/reels-fallback/reel-5.jpg</t>
        </is>
      </c>
      <c r="G27" s="4" t="inlineStr">
        <is>
          <t>None</t>
        </is>
      </c>
      <c r="H27" s="7" t="inlineStr">
        <is>
          <t>Not Started</t>
        </is>
      </c>
      <c r="I27" s="8" t="inlineStr">
        <is>
          <t>P1</t>
        </is>
      </c>
      <c r="J27" s="4" t="inlineStr">
        <is>
          <t>+ permalink + caption.</t>
        </is>
      </c>
    </row>
    <row r="28">
      <c r="A28" s="4" t="inlineStr">
        <is>
          <t>Home</t>
        </is>
      </c>
      <c r="B28" s="4" t="inlineStr">
        <is>
          <t>SelectedWork - fallback</t>
        </is>
      </c>
      <c r="C28" s="4" t="inlineStr">
        <is>
          <t>Fallback reel 6 (video + poster)</t>
        </is>
      </c>
      <c r="D28" s="4" t="inlineStr">
        <is>
          <t>n/a</t>
        </is>
      </c>
      <c r="E28" s="4" t="inlineStr">
        <is>
          <t>9:16 -&gt; /video/reels-fallback/reel-6.mp4</t>
        </is>
      </c>
      <c r="F28" s="4" t="inlineStr">
        <is>
          <t>/reels-fallback/reel-6.jpg</t>
        </is>
      </c>
      <c r="G28" s="4" t="inlineStr">
        <is>
          <t>None</t>
        </is>
      </c>
      <c r="H28" s="7" t="inlineStr">
        <is>
          <t>Not Started</t>
        </is>
      </c>
      <c r="I28" s="8" t="inlineStr">
        <is>
          <t>P1</t>
        </is>
      </c>
      <c r="J28" s="4" t="inlineStr">
        <is>
          <t>+ permalink + caption.</t>
        </is>
      </c>
    </row>
    <row r="29">
      <c r="A29" s="4" t="inlineStr">
        <is>
          <t>Home</t>
        </is>
      </c>
      <c r="B29" s="4" t="inlineStr">
        <is>
          <t>GlobalPresence</t>
        </is>
      </c>
      <c r="C29" s="4" t="inlineStr">
        <is>
          <t>Cosmic globe + studio/reach pins</t>
        </is>
      </c>
      <c r="D29" s="4" t="inlineStr">
        <is>
          <t>n/a</t>
        </is>
      </c>
      <c r="E29" s="4" t="inlineStr">
        <is>
          <t>n/a</t>
        </is>
      </c>
      <c r="F29" s="4" t="inlineStr">
        <is>
          <t>n/a</t>
        </is>
      </c>
      <c r="G29" s="4" t="inlineStr">
        <is>
          <t>Hand-rolled SVG / code</t>
        </is>
      </c>
      <c r="H29" s="9" t="inlineStr">
        <is>
          <t>Done</t>
        </is>
      </c>
      <c r="I29" s="4" t="inlineStr">
        <is>
          <t>-</t>
        </is>
      </c>
      <c r="J29" s="4" t="inlineStr">
        <is>
          <t>No media asset.</t>
        </is>
      </c>
    </row>
    <row r="30">
      <c r="A30" s="4" t="inlineStr">
        <is>
          <t>Home</t>
        </is>
      </c>
      <c r="B30" s="4" t="inlineStr">
        <is>
          <t>Testimonials</t>
        </is>
      </c>
      <c r="C30" s="4" t="inlineStr">
        <is>
          <t>3 client quotes (+ optional headshots)</t>
        </is>
      </c>
      <c r="D30" s="4" t="inlineStr">
        <is>
          <t>n/a</t>
        </is>
      </c>
      <c r="E30" s="4" t="inlineStr">
        <is>
          <t>n/a</t>
        </is>
      </c>
      <c r="F30" s="4" t="inlineStr">
        <is>
          <t>3x square headshots 400x400 -&gt; /images/clients/{name}.jpg (optional)</t>
        </is>
      </c>
      <c r="G30" s="4" t="inlineStr">
        <is>
          <t>Quotes = placeholder (fictional); headshots = none (initials fallback)</t>
        </is>
      </c>
      <c r="H30" s="5" t="inlineStr">
        <is>
          <t>In Progress</t>
        </is>
      </c>
      <c r="I30" s="8" t="inlineStr">
        <is>
          <t>P1</t>
        </is>
      </c>
      <c r="J30" s="4" t="inlineStr">
        <is>
          <t>Replace 3 fictional quotes with real ones. Headshots optional.</t>
        </is>
      </c>
    </row>
    <row r="31">
      <c r="A31" s="4" t="inlineStr">
        <is>
          <t>Home</t>
        </is>
      </c>
      <c r="B31" s="4" t="inlineStr">
        <is>
          <t>OutcomeWidgets</t>
        </is>
      </c>
      <c r="C31" s="4" t="inlineStr">
        <is>
          <t>Map / Countdown / Metric / Attribution / Ticker</t>
        </is>
      </c>
      <c r="D31" s="4" t="inlineStr">
        <is>
          <t>n/a</t>
        </is>
      </c>
      <c r="E31" s="4" t="inlineStr">
        <is>
          <t>n/a</t>
        </is>
      </c>
      <c r="F31" s="4" t="inlineStr">
        <is>
          <t>n/a</t>
        </is>
      </c>
      <c r="G31" s="4" t="inlineStr">
        <is>
          <t>Hand-rolled SVG / code (data placeholders)</t>
        </is>
      </c>
      <c r="H31" s="9" t="inlineStr">
        <is>
          <t>Done</t>
        </is>
      </c>
      <c r="I31" s="8" t="inlineStr">
        <is>
          <t>P1</t>
        </is>
      </c>
      <c r="J31" s="4" t="inlineStr">
        <is>
          <t>No media. Numbers in lib/outcomes.ts are // CONFIRM placeholders.</t>
        </is>
      </c>
    </row>
    <row r="32">
      <c r="A32" s="4" t="inlineStr">
        <is>
          <t>Home</t>
        </is>
      </c>
      <c r="B32" s="4" t="inlineStr">
        <is>
          <t>QuoteToolPromo + Wizard</t>
        </is>
      </c>
      <c r="C32" s="4" t="inlineStr">
        <is>
          <t>Quote engine band &amp; flow</t>
        </is>
      </c>
      <c r="D32" s="4" t="inlineStr">
        <is>
          <t>n/a</t>
        </is>
      </c>
      <c r="E32" s="4" t="inlineStr">
        <is>
          <t>n/a</t>
        </is>
      </c>
      <c r="F32" s="4" t="inlineStr">
        <is>
          <t>n/a</t>
        </is>
      </c>
      <c r="G32" s="4" t="inlineStr">
        <is>
          <t>UI / code</t>
        </is>
      </c>
      <c r="H32" s="9" t="inlineStr">
        <is>
          <t>Done</t>
        </is>
      </c>
      <c r="I32" s="4" t="inlineStr">
        <is>
          <t>-</t>
        </is>
      </c>
      <c r="J32" s="4" t="inlineStr">
        <is>
          <t>No media. Pricing in lib/quotePricing.ts is v2-draft placeholder.</t>
        </is>
      </c>
    </row>
    <row r="33">
      <c r="A33" s="4" t="inlineStr">
        <is>
          <t>Home</t>
        </is>
      </c>
      <c r="B33" s="4" t="inlineStr">
        <is>
          <t>CtaSplit</t>
        </is>
      </c>
      <c r="C33" s="4" t="inlineStr">
        <is>
          <t>Closing contact band</t>
        </is>
      </c>
      <c r="D33" s="4" t="inlineStr">
        <is>
          <t>n/a</t>
        </is>
      </c>
      <c r="E33" s="4" t="inlineStr">
        <is>
          <t>n/a</t>
        </is>
      </c>
      <c r="F33" s="4" t="inlineStr">
        <is>
          <t>n/a</t>
        </is>
      </c>
      <c r="G33" s="4" t="inlineStr">
        <is>
          <t>UI / code</t>
        </is>
      </c>
      <c r="H33" s="9" t="inlineStr">
        <is>
          <t>Done</t>
        </is>
      </c>
      <c r="I33" s="4" t="inlineStr">
        <is>
          <t>-</t>
        </is>
      </c>
      <c r="J33" s="4" t="inlineStr">
        <is>
          <t>No media.</t>
        </is>
      </c>
    </row>
    <row r="34">
      <c r="A34" s="2" t="inlineStr">
        <is>
          <t>ABOUT PAGE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4" t="inlineStr">
        <is>
          <t>About</t>
        </is>
      </c>
      <c r="B35" s="4" t="inlineStr">
        <is>
          <t>AboutStudioVideo (#studio)</t>
        </is>
      </c>
      <c r="C35" s="4" t="inlineStr">
        <is>
          <t>Inside-the-Studio team film</t>
        </is>
      </c>
      <c r="D35" s="4" t="inlineStr">
        <is>
          <t>LIVE: /video/StudioTeam.mp4 (14MB, 16:9)</t>
        </is>
      </c>
      <c r="E35" s="4" t="inlineStr">
        <is>
          <t>1080x1920 -&gt; /video/StudioTeam-mobile.mp4</t>
        </is>
      </c>
      <c r="F35" s="4" t="inlineStr">
        <is>
          <t>StudioTeam-poster.jpg + StudioTeam-poster-mobile.jpg</t>
        </is>
      </c>
      <c r="G35" s="4" t="inlineStr">
        <is>
          <t>Desktop = StudioTeam.mp4 (real); mobile reuses desktop; posters = intro-poster.jpg</t>
        </is>
      </c>
      <c r="H35" s="5" t="inlineStr">
        <is>
          <t>In Progress</t>
        </is>
      </c>
      <c r="I35" s="8" t="inlineStr">
        <is>
          <t>P1</t>
        </is>
      </c>
      <c r="J35" s="4" t="inlineStr">
        <is>
          <t>Desktop is DONE. Need portrait re-cut + 2 real posters. StudioTeam0.mp4 (5MB) unused.</t>
        </is>
      </c>
    </row>
    <row r="36">
      <c r="A36" s="4" t="inlineStr">
        <is>
          <t>About</t>
        </is>
      </c>
      <c r="B36" s="4" t="inlineStr">
        <is>
          <t>Team grid</t>
        </is>
      </c>
      <c r="C36" s="4" t="inlineStr">
        <is>
          <t>Discipline role/count tiles</t>
        </is>
      </c>
      <c r="D36" s="4" t="inlineStr">
        <is>
          <t>n/a</t>
        </is>
      </c>
      <c r="E36" s="4" t="inlineStr">
        <is>
          <t>n/a</t>
        </is>
      </c>
      <c r="F36" s="4" t="inlineStr">
        <is>
          <t>n/a</t>
        </is>
      </c>
      <c r="G36" s="4" t="inlineStr">
        <is>
          <t>Abstract gradient avatars (code)</t>
        </is>
      </c>
      <c r="H36" s="9" t="inlineStr">
        <is>
          <t>Done</t>
        </is>
      </c>
      <c r="I36" s="4" t="inlineStr">
        <is>
          <t>-</t>
        </is>
      </c>
      <c r="J36" s="4" t="inlineStr">
        <is>
          <t>No photos in current build - just counts (3/12/4/4/3/2).</t>
        </is>
      </c>
    </row>
    <row r="37">
      <c r="A37" s="4" t="inlineStr">
        <is>
          <t>About</t>
        </is>
      </c>
      <c r="B37" s="4" t="inlineStr">
        <is>
          <t>Story / Mission / Values / Offices / CTA</t>
        </is>
      </c>
      <c r="C37" s="4" t="inlineStr">
        <is>
          <t>Editorial text sections</t>
        </is>
      </c>
      <c r="D37" s="4" t="inlineStr">
        <is>
          <t>n/a</t>
        </is>
      </c>
      <c r="E37" s="4" t="inlineStr">
        <is>
          <t>n/a</t>
        </is>
      </c>
      <c r="F37" s="4" t="inlineStr">
        <is>
          <t>n/a</t>
        </is>
      </c>
      <c r="G37" s="4" t="inlineStr">
        <is>
          <t>Text / code</t>
        </is>
      </c>
      <c r="H37" s="9" t="inlineStr">
        <is>
          <t>Done</t>
        </is>
      </c>
      <c r="I37" s="4" t="inlineStr">
        <is>
          <t>-</t>
        </is>
      </c>
      <c r="J37" s="4" t="inlineStr">
        <is>
          <t>StoryTimeline 2023-25; no media.</t>
        </is>
      </c>
    </row>
    <row r="38">
      <c r="A38" s="4" t="inlineStr">
        <is>
          <t>About</t>
        </is>
      </c>
      <c r="B38" s="4" t="inlineStr">
        <is>
          <t>[FUTURE - Phase 3]</t>
        </is>
      </c>
      <c r="C38" s="4" t="inlineStr">
        <is>
          <t>Named leadership portraits (x6)</t>
        </is>
      </c>
      <c r="D38" s="4" t="inlineStr">
        <is>
          <t>n/a</t>
        </is>
      </c>
      <c r="E38" s="4" t="inlineStr">
        <is>
          <t>n/a</t>
        </is>
      </c>
      <c r="F38" s="4" t="inlineStr">
        <is>
          <t>6x square 400x400 -&gt; /images/team/</t>
        </is>
      </c>
      <c r="G38" s="4" t="inlineStr">
        <is>
          <t>Not wired in code</t>
        </is>
      </c>
      <c r="H38" s="12" t="inlineStr">
        <is>
          <t>Future</t>
        </is>
      </c>
      <c r="I38" s="11" t="inlineStr">
        <is>
          <t>P3</t>
        </is>
      </c>
      <c r="J38" s="4" t="inlineStr">
        <is>
          <t>Roadmap Phase 3. NOT in current design (team uses count tiles).</t>
        </is>
      </c>
    </row>
    <row r="39">
      <c r="A39" s="4" t="inlineStr">
        <is>
          <t>About</t>
        </is>
      </c>
      <c r="B39" s="4" t="inlineStr">
        <is>
          <t>[FUTURE - Phase 3]</t>
        </is>
      </c>
      <c r="C39" s="4" t="inlineStr">
        <is>
          <t>Studio gear strip images (x4)</t>
        </is>
      </c>
      <c r="D39" s="4" t="inlineStr">
        <is>
          <t>n/a</t>
        </is>
      </c>
      <c r="E39" s="4" t="inlineStr">
        <is>
          <t>n/a</t>
        </is>
      </c>
      <c r="F39" s="4" t="inlineStr">
        <is>
          <t>~400x300 each</t>
        </is>
      </c>
      <c r="G39" s="4" t="inlineStr">
        <is>
          <t>Not wired in code</t>
        </is>
      </c>
      <c r="H39" s="12" t="inlineStr">
        <is>
          <t>Future</t>
        </is>
      </c>
      <c r="I39" s="11" t="inlineStr">
        <is>
          <t>P3</t>
        </is>
      </c>
      <c r="J39" s="4" t="inlineStr">
        <is>
          <t>Roadmap Phase 3. NOT in current design.</t>
        </is>
      </c>
    </row>
    <row r="40">
      <c r="A40" s="2" t="inlineStr">
        <is>
          <t>OTHER PAGES (no media)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4" t="inlineStr">
        <is>
          <t>Services</t>
        </is>
      </c>
      <c r="B41" s="4" t="inlineStr">
        <is>
          <t>Pillars + SolutionsRouter</t>
        </is>
      </c>
      <c r="C41" s="4" t="inlineStr">
        <is>
          <t>Discipline catalogue</t>
        </is>
      </c>
      <c r="D41" s="4" t="inlineStr">
        <is>
          <t>n/a</t>
        </is>
      </c>
      <c r="E41" s="4" t="inlineStr">
        <is>
          <t>n/a</t>
        </is>
      </c>
      <c r="F41" s="4" t="inlineStr">
        <is>
          <t>n/a</t>
        </is>
      </c>
      <c r="G41" s="4" t="inlineStr">
        <is>
          <t>Text / UI</t>
        </is>
      </c>
      <c r="H41" s="9" t="inlineStr">
        <is>
          <t>Done</t>
        </is>
      </c>
      <c r="I41" s="4" t="inlineStr">
        <is>
          <t>-</t>
        </is>
      </c>
      <c r="J41" s="4" t="inlineStr">
        <is>
          <t>No page-specific media.</t>
        </is>
      </c>
    </row>
    <row r="42">
      <c r="A42" s="4" t="inlineStr">
        <is>
          <t>Contact</t>
        </is>
      </c>
      <c r="B42" s="4" t="inlineStr">
        <is>
          <t>Form + map caption</t>
        </is>
      </c>
      <c r="C42" s="4" t="inlineStr">
        <is>
          <t>Contact form</t>
        </is>
      </c>
      <c r="D42" s="4" t="inlineStr">
        <is>
          <t>n/a</t>
        </is>
      </c>
      <c r="E42" s="4" t="inlineStr">
        <is>
          <t>n/a</t>
        </is>
      </c>
      <c r="F42" s="4" t="inlineStr">
        <is>
          <t>n/a</t>
        </is>
      </c>
      <c r="G42" s="4" t="inlineStr">
        <is>
          <t>Text / UI</t>
        </is>
      </c>
      <c r="H42" s="9" t="inlineStr">
        <is>
          <t>Done</t>
        </is>
      </c>
      <c r="I42" s="4" t="inlineStr">
        <is>
          <t>-</t>
        </is>
      </c>
      <c r="J42" s="4" t="inlineStr">
        <is>
          <t>Project types now match the 6 confirmed.</t>
        </is>
      </c>
    </row>
    <row r="43">
      <c r="A43" s="4" t="inlineStr">
        <is>
          <t>Quote</t>
        </is>
      </c>
      <c r="B43" s="4" t="inlineStr">
        <is>
          <t>QuoteWizard</t>
        </is>
      </c>
      <c r="C43" s="4" t="inlineStr">
        <is>
          <t>5-step quote flow</t>
        </is>
      </c>
      <c r="D43" s="4" t="inlineStr">
        <is>
          <t>n/a</t>
        </is>
      </c>
      <c r="E43" s="4" t="inlineStr">
        <is>
          <t>n/a</t>
        </is>
      </c>
      <c r="F43" s="4" t="inlineStr">
        <is>
          <t>n/a</t>
        </is>
      </c>
      <c r="G43" s="4" t="inlineStr">
        <is>
          <t>UI</t>
        </is>
      </c>
      <c r="H43" s="9" t="inlineStr">
        <is>
          <t>Done</t>
        </is>
      </c>
      <c r="I43" s="4" t="inlineStr">
        <is>
          <t>-</t>
        </is>
      </c>
      <c r="J43" s="4" t="inlineStr">
        <is>
          <t>No media. Pricing placeholders pending finance.</t>
        </is>
      </c>
    </row>
    <row r="44">
      <c r="A44" s="4" t="inlineStr">
        <is>
          <t>Privacy</t>
        </is>
      </c>
      <c r="B44" s="4" t="inlineStr">
        <is>
          <t>Static legal page</t>
        </is>
      </c>
      <c r="C44" s="4" t="inlineStr">
        <is>
          <t>Privacy policy copy</t>
        </is>
      </c>
      <c r="D44" s="4" t="inlineStr">
        <is>
          <t>n/a</t>
        </is>
      </c>
      <c r="E44" s="4" t="inlineStr">
        <is>
          <t>n/a</t>
        </is>
      </c>
      <c r="F44" s="4" t="inlineStr">
        <is>
          <t>n/a</t>
        </is>
      </c>
      <c r="G44" s="4" t="inlineStr">
        <is>
          <t>Text</t>
        </is>
      </c>
      <c r="H44" s="5" t="inlineStr">
        <is>
          <t>In Progress</t>
        </is>
      </c>
      <c r="I44" s="8" t="inlineStr">
        <is>
          <t>P1</t>
        </is>
      </c>
      <c r="J44" s="4" t="inlineStr">
        <is>
          <t>Adapted from live studio.build91.in/privacy-policy.</t>
        </is>
      </c>
    </row>
    <row r="45">
      <c r="A45" s="4" t="inlineStr">
        <is>
          <t>Terms</t>
        </is>
      </c>
      <c r="B45" s="4" t="inlineStr">
        <is>
          <t>Static legal page</t>
        </is>
      </c>
      <c r="C45" s="4" t="inlineStr">
        <is>
          <t>Terms &amp; conditions copy</t>
        </is>
      </c>
      <c r="D45" s="4" t="inlineStr">
        <is>
          <t>n/a</t>
        </is>
      </c>
      <c r="E45" s="4" t="inlineStr">
        <is>
          <t>n/a</t>
        </is>
      </c>
      <c r="F45" s="4" t="inlineStr">
        <is>
          <t>n/a</t>
        </is>
      </c>
      <c r="G45" s="4" t="inlineStr">
        <is>
          <t>Text</t>
        </is>
      </c>
      <c r="H45" s="5" t="inlineStr">
        <is>
          <t>In Progress</t>
        </is>
      </c>
      <c r="I45" s="8" t="inlineStr">
        <is>
          <t>P1</t>
        </is>
      </c>
      <c r="J45" s="4" t="inlineStr">
        <is>
          <t>Adapted from live studio.build91.in/termsconditions.</t>
        </is>
      </c>
    </row>
    <row r="46">
      <c r="A46" s="2" t="inlineStr">
        <is>
          <t>FUTURE / DISABLED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4" t="inlineStr">
        <is>
          <t>Home</t>
        </is>
      </c>
      <c r="B47" s="4" t="inlineStr">
        <is>
          <t>[DISABLED] Process ScrollPin</t>
        </is>
      </c>
      <c r="C47" s="4" t="inlineStr">
        <is>
          <t>4 process slides (commented out)</t>
        </is>
      </c>
      <c r="D47" s="4" t="inlineStr">
        <is>
          <t>1920x1080 -&gt; /video/proc-*.mp4</t>
        </is>
      </c>
      <c r="E47" s="4" t="inlineStr">
        <is>
          <t>1080x1920 -&gt; /video/proc-*-mobile.mp4</t>
        </is>
      </c>
      <c r="F47" s="4" t="inlineStr">
        <is>
          <t>color tint only</t>
        </is>
      </c>
      <c r="G47" s="4" t="inlineStr">
        <is>
          <t>Placeholder (section commented out in app/page.tsx)</t>
        </is>
      </c>
      <c r="H47" s="12" t="inlineStr">
        <is>
          <t>Future</t>
        </is>
      </c>
      <c r="I47" s="11" t="inlineStr">
        <is>
          <t>P3</t>
        </is>
      </c>
      <c r="J47" s="4" t="inlineStr">
        <is>
          <t>8 files if restored (brief/storyboard/production/launch x 2).</t>
        </is>
      </c>
    </row>
    <row r="48">
      <c r="A48" s="4" t="inlineStr">
        <is>
          <t>Work</t>
        </is>
      </c>
      <c r="B48" s="4" t="inlineStr">
        <is>
          <t>[FUTURE - Phase 3] Case Studies</t>
        </is>
      </c>
      <c r="C48" s="4" t="inlineStr">
        <is>
          <t>3 studies: hero + gallery each</t>
        </is>
      </c>
      <c r="D48" s="4" t="inlineStr">
        <is>
          <t>hero ~1200x800</t>
        </is>
      </c>
      <c r="E48" s="4" t="inlineStr">
        <is>
          <t>n/a</t>
        </is>
      </c>
      <c r="F48" s="4" t="inlineStr">
        <is>
          <t>4-6 gallery images per study</t>
        </is>
      </c>
      <c r="G48" s="4" t="inlineStr">
        <is>
          <t>Not wired (/work redirects to home)</t>
        </is>
      </c>
      <c r="H48" s="12" t="inlineStr">
        <is>
          <t>Future</t>
        </is>
      </c>
      <c r="I48" s="11" t="inlineStr">
        <is>
          <t>P3</t>
        </is>
      </c>
      <c r="J48" s="4" t="inlineStr">
        <is>
          <t>No component yet. Roadmap Phase 3.</t>
        </is>
      </c>
    </row>
    <row r="49">
      <c r="A49" s="2" t="inlineStr">
        <is>
          <t>BRAND ASSETS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4" t="inlineStr">
        <is>
          <t>Global</t>
        </is>
      </c>
      <c r="B50" s="4" t="inlineStr">
        <is>
          <t>Logos</t>
        </is>
      </c>
      <c r="C50" s="4" t="inlineStr">
        <is>
          <t>Build91 brand logos</t>
        </is>
      </c>
      <c r="D50" s="4" t="inlineStr">
        <is>
          <t>n/a</t>
        </is>
      </c>
      <c r="E50" s="4" t="inlineStr">
        <is>
          <t>n/a</t>
        </is>
      </c>
      <c r="F50" s="4" t="inlineStr">
        <is>
          <t>n/a</t>
        </is>
      </c>
      <c r="G50" s="4" t="inlineStr">
        <is>
          <t>B91StudioLogo1/2.png + Build91Logo_circle.png on disk</t>
        </is>
      </c>
      <c r="H50" s="9" t="inlineStr">
        <is>
          <t>Done</t>
        </is>
      </c>
      <c r="I50" s="4" t="inlineStr">
        <is>
          <t>-</t>
        </is>
      </c>
      <c r="J50" s="4" t="inlineStr">
        <is>
          <t>Header/footer brand marks present.</t>
        </is>
      </c>
    </row>
  </sheetData>
  <autoFilter ref="A1:J50"/>
  <mergeCells count="5">
    <mergeCell ref="A46:J46"/>
    <mergeCell ref="A40:J40"/>
    <mergeCell ref="A34:J34"/>
    <mergeCell ref="A2:J2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" customWidth="1" min="3" max="3"/>
    <col width="26" customWidth="1" min="4" max="4"/>
    <col width="10" customWidth="1" min="5" max="5"/>
  </cols>
  <sheetData>
    <row r="1">
      <c r="A1" s="13" t="inlineStr">
        <is>
          <t>Content Asset Tracker - Summary</t>
        </is>
      </c>
    </row>
    <row r="3">
      <c r="A3" s="14" t="inlineStr">
        <is>
          <t>By Status</t>
        </is>
      </c>
      <c r="D3" s="14" t="inlineStr">
        <is>
          <t>By Priority</t>
        </is>
      </c>
    </row>
    <row r="4">
      <c r="A4" s="15" t="inlineStr">
        <is>
          <t>Done</t>
        </is>
      </c>
      <c r="B4" s="15">
        <f>COUNTIF('Asset Tracker'!H3:H50,"Done")</f>
        <v/>
      </c>
      <c r="D4" s="15" t="inlineStr">
        <is>
          <t>P0 - Critical</t>
        </is>
      </c>
      <c r="E4" s="15">
        <f>COUNTIF('Asset Tracker'!I3:I50,"P0")</f>
        <v/>
      </c>
    </row>
    <row r="5">
      <c r="A5" s="15" t="inlineStr">
        <is>
          <t>In Progress</t>
        </is>
      </c>
      <c r="B5" s="15">
        <f>COUNTIF('Asset Tracker'!H3:H50,"In Progress")</f>
        <v/>
      </c>
      <c r="D5" s="15" t="inlineStr">
        <is>
          <t>P1 - High</t>
        </is>
      </c>
      <c r="E5" s="15">
        <f>COUNTIF('Asset Tracker'!I3:I50,"P1")</f>
        <v/>
      </c>
    </row>
    <row r="6">
      <c r="A6" s="15" t="inlineStr">
        <is>
          <t>Not Started</t>
        </is>
      </c>
      <c r="B6" s="15">
        <f>COUNTIF('Asset Tracker'!H3:H50,"Not Started")</f>
        <v/>
      </c>
      <c r="D6" s="15" t="inlineStr">
        <is>
          <t>P2 - Medium</t>
        </is>
      </c>
      <c r="E6" s="15">
        <f>COUNTIF('Asset Tracker'!I3:I50,"P2")</f>
        <v/>
      </c>
    </row>
    <row r="7">
      <c r="A7" s="15" t="inlineStr">
        <is>
          <t>Future / Deferred</t>
        </is>
      </c>
      <c r="B7" s="15">
        <f>COUNTIF('Asset Tracker'!H3:H50,"Future")</f>
        <v/>
      </c>
      <c r="D7" s="15" t="inlineStr">
        <is>
          <t>P3 - Low / Future</t>
        </is>
      </c>
      <c r="E7" s="15">
        <f>COUNTIF('Asset Tracker'!I3:I50,"P3")</f>
        <v/>
      </c>
    </row>
    <row r="8">
      <c r="A8" s="15" t="inlineStr">
        <is>
          <t>Optional</t>
        </is>
      </c>
      <c r="B8" s="15">
        <f>COUNTIF('Asset Tracker'!H3:H50,"Optional")</f>
        <v/>
      </c>
    </row>
    <row r="9">
      <c r="A9" s="14" t="inlineStr">
        <is>
          <t>Total deliverables</t>
        </is>
      </c>
      <c r="B9" s="14">
        <f>COUNTA('Asset Tracker'!C3:C50)</f>
        <v/>
      </c>
    </row>
    <row r="11">
      <c r="A11" s="14" t="inlineStr">
        <is>
          <t>Legend</t>
        </is>
      </c>
    </row>
    <row r="12">
      <c r="A12" s="16" t="inlineStr">
        <is>
          <t>Done</t>
        </is>
      </c>
      <c r="B12" s="15" t="inlineStr">
        <is>
          <t>Built &amp; live (asset may still need optimising - see notes)</t>
        </is>
      </c>
    </row>
    <row r="13">
      <c r="A13" s="17" t="inlineStr">
        <is>
          <t>In Progress</t>
        </is>
      </c>
      <c r="B13" s="15" t="inlineStr">
        <is>
          <t>Partially done / pending swap or confirmation</t>
        </is>
      </c>
    </row>
    <row r="14">
      <c r="A14" s="18" t="inlineStr">
        <is>
          <t>Not Started</t>
        </is>
      </c>
      <c r="B14" s="15" t="inlineStr">
        <is>
          <t>Asset still needs to be produced</t>
        </is>
      </c>
    </row>
    <row r="15">
      <c r="A15" s="19" t="inlineStr">
        <is>
          <t>Future</t>
        </is>
      </c>
      <c r="B15" s="15" t="inlineStr">
        <is>
          <t>Phase 3+ / disabled - not in current build</t>
        </is>
      </c>
    </row>
    <row r="16">
      <c r="A16" s="20" t="inlineStr">
        <is>
          <t>Optional</t>
        </is>
      </c>
      <c r="B16" s="15" t="inlineStr">
        <is>
          <t>Nice-to-have, not required</t>
        </is>
      </c>
    </row>
    <row r="18">
      <c r="A18" s="14" t="inlineStr">
        <is>
          <t>Latest change</t>
        </is>
      </c>
    </row>
    <row r="19" ht="88" customHeight="1">
      <c r="A19" s="21" t="inlineStr">
        <is>
          <t>Services slides 1-3 (Drone &amp; Aerial 360, Photoreal Renders, Cinematic Walkthroughs) now have REAL landscape + portrait footage wired into app/page.tsx. Slides 4-6 (360 Tours, Marketing Stack, Microsites) are still on the intro-reel placeholder. Drone and Walkthrough pairs are ~21-22MB each - compress before launch (DoD: LCP &lt; 2.5s). Filenames contain spaces/typos; rename to the svc-*.mp4 convention. Cross-checked against live code on the v2 branch.</t>
        </is>
      </c>
    </row>
  </sheetData>
  <mergeCells count="6">
    <mergeCell ref="B12:E12"/>
    <mergeCell ref="B13:E13"/>
    <mergeCell ref="B16:E16"/>
    <mergeCell ref="A19:E19"/>
    <mergeCell ref="B15:E15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2026-07-15T10:23:31Z</dcterms:created>
  <dcterms:modified xsi:type="dcterms:W3CDTF">2026-07-15T10:23:31Z</dcterms:modified>
</cp:coreProperties>
</file>